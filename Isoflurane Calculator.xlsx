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1AB44C41-9A74-4166-B473-BA7895D8DF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C6" i="1"/>
  <c r="C4" i="1"/>
  <c r="C11" i="1" l="1"/>
  <c r="C9" i="1"/>
  <c r="C10" i="1" l="1"/>
</calcChain>
</file>

<file path=xl/sharedStrings.xml><?xml version="1.0" encoding="utf-8"?>
<sst xmlns="http://schemas.openxmlformats.org/spreadsheetml/2006/main" count="32" uniqueCount="30">
  <si>
    <t>Units</t>
  </si>
  <si>
    <t>R</t>
  </si>
  <si>
    <t>T</t>
  </si>
  <si>
    <t>P</t>
  </si>
  <si>
    <t>Number of moles (n)</t>
  </si>
  <si>
    <t>Mass of Isoflurane (m)</t>
  </si>
  <si>
    <t>Desired Concentration 1</t>
  </si>
  <si>
    <t>L·atm/(mol·K)</t>
  </si>
  <si>
    <t>K</t>
  </si>
  <si>
    <t>L</t>
  </si>
  <si>
    <t>atm</t>
  </si>
  <si>
    <t>g/mol</t>
  </si>
  <si>
    <t>g</t>
  </si>
  <si>
    <t>%</t>
  </si>
  <si>
    <t>Volume</t>
  </si>
  <si>
    <t>Parameter</t>
  </si>
  <si>
    <t>Parameter value</t>
  </si>
  <si>
    <t>Molar mass of isoflurane(M)</t>
  </si>
  <si>
    <t>mol</t>
  </si>
  <si>
    <t>Instructions</t>
  </si>
  <si>
    <t xml:space="preserve">Desired concentrations can be adjusted </t>
  </si>
  <si>
    <t>cubic cm</t>
  </si>
  <si>
    <t xml:space="preserve">This is the calculated volume of your induction chamber (in L). </t>
  </si>
  <si>
    <t xml:space="preserve">This is the final volume of isoflurane needed. </t>
  </si>
  <si>
    <t>Isoflurane Density</t>
  </si>
  <si>
    <t>mL/g</t>
  </si>
  <si>
    <t>C</t>
  </si>
  <si>
    <t>1) Add the room temperature here (in Celcius). It will convert to Kelvin.</t>
  </si>
  <si>
    <t>2) Add the calculated volume of your induction chamber (in cubic cm); or, skip this step and add the volume in L in C6.</t>
  </si>
  <si>
    <t>Volume of isoflurane (in 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</si>
</sst>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1" fillId="3" borderId="0" xfId="0" applyFont="1" applyFill="1"/>
    <xf numFmtId="0" fontId="0" fillId="3" borderId="0" xfId="0" applyFill="1"/>
    <xf numFmtId="0" fontId="0" fillId="3" borderId="12" xfId="0" applyFill="1" applyBorder="1"/>
    <xf numFmtId="0" fontId="1" fillId="0" borderId="0" xfId="0" applyFont="1"/>
    <xf numFmtId="0" fontId="0" fillId="2" borderId="0" xfId="0" applyFill="1"/>
    <xf numFmtId="0" fontId="0" fillId="4" borderId="6" xfId="0" applyFill="1" applyBorder="1"/>
    <xf numFmtId="0" fontId="1" fillId="4" borderId="3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1" fillId="2" borderId="11" xfId="0" applyFont="1" applyFill="1" applyBorder="1"/>
    <xf numFmtId="0" fontId="1" fillId="2" borderId="13" xfId="0" applyFont="1" applyFill="1" applyBorder="1"/>
    <xf numFmtId="0" fontId="0" fillId="5" borderId="0" xfId="0" applyFill="1"/>
    <xf numFmtId="0" fontId="0" fillId="5" borderId="7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0" xfId="0" applyFill="1" applyAlignment="1">
      <alignment wrapText="1"/>
    </xf>
    <xf numFmtId="0" fontId="2" fillId="5" borderId="1" xfId="0" applyFont="1" applyFill="1" applyBorder="1"/>
    <xf numFmtId="0" fontId="0" fillId="6" borderId="0" xfId="0" applyFill="1"/>
    <xf numFmtId="0" fontId="0" fillId="0" borderId="0" xfId="0" applyFill="1"/>
    <xf numFmtId="0" fontId="0" fillId="6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28575</xdr:rowOff>
    </xdr:from>
    <xdr:to>
      <xdr:col>6</xdr:col>
      <xdr:colOff>285750</xdr:colOff>
      <xdr:row>11</xdr:row>
      <xdr:rowOff>180975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A42C130F-3F63-893E-679D-25E134124827}"/>
            </a:ext>
          </a:extLst>
        </xdr:cNvPr>
        <xdr:cNvSpPr/>
      </xdr:nvSpPr>
      <xdr:spPr>
        <a:xfrm>
          <a:off x="10544175" y="3714750"/>
          <a:ext cx="200025" cy="1524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F13" sqref="F13"/>
    </sheetView>
  </sheetViews>
  <sheetFormatPr defaultRowHeight="14.25" x14ac:dyDescent="0.45"/>
  <cols>
    <col min="1" max="1" width="49" customWidth="1"/>
    <col min="2" max="2" width="27.59765625" customWidth="1"/>
    <col min="3" max="3" width="20.59765625" customWidth="1"/>
    <col min="4" max="4" width="14.265625" customWidth="1"/>
    <col min="5" max="5" width="17.73046875" customWidth="1"/>
    <col min="6" max="6" width="27.73046875" customWidth="1"/>
    <col min="7" max="7" width="5.59765625" customWidth="1"/>
    <col min="8" max="8" width="27.265625" customWidth="1"/>
  </cols>
  <sheetData>
    <row r="1" spans="1:10" ht="14.65" thickBot="1" x14ac:dyDescent="0.5">
      <c r="A1" s="26" t="s">
        <v>19</v>
      </c>
      <c r="B1" s="2" t="s">
        <v>15</v>
      </c>
      <c r="C1" s="2" t="s">
        <v>16</v>
      </c>
      <c r="D1" s="2" t="s">
        <v>0</v>
      </c>
      <c r="E1" s="1"/>
      <c r="F1" s="1"/>
    </row>
    <row r="2" spans="1:10" x14ac:dyDescent="0.45">
      <c r="A2" s="22"/>
      <c r="B2" t="s">
        <v>1</v>
      </c>
      <c r="C2">
        <v>8.2100000000000006E-2</v>
      </c>
      <c r="D2" t="s">
        <v>7</v>
      </c>
    </row>
    <row r="3" spans="1:10" x14ac:dyDescent="0.45">
      <c r="A3" s="22"/>
      <c r="B3" s="13" t="s">
        <v>2</v>
      </c>
      <c r="C3" s="27"/>
      <c r="D3" s="3" t="s">
        <v>26</v>
      </c>
    </row>
    <row r="4" spans="1:10" ht="30.75" customHeight="1" x14ac:dyDescent="0.45">
      <c r="A4" s="23" t="s">
        <v>27</v>
      </c>
      <c r="B4" s="12" t="s">
        <v>2</v>
      </c>
      <c r="C4" s="4">
        <f>273.15+C3</f>
        <v>273.14999999999998</v>
      </c>
      <c r="D4" s="5" t="s">
        <v>8</v>
      </c>
    </row>
    <row r="5" spans="1:10" ht="30.75" customHeight="1" x14ac:dyDescent="0.45">
      <c r="A5" s="25" t="s">
        <v>28</v>
      </c>
      <c r="B5" s="13" t="s">
        <v>14</v>
      </c>
      <c r="C5" s="27"/>
      <c r="D5" s="3" t="s">
        <v>21</v>
      </c>
    </row>
    <row r="6" spans="1:10" ht="28.5" x14ac:dyDescent="0.45">
      <c r="A6" s="24" t="s">
        <v>22</v>
      </c>
      <c r="B6" s="14" t="s">
        <v>14</v>
      </c>
      <c r="C6" s="29">
        <f>C5*0.001</f>
        <v>0</v>
      </c>
      <c r="D6" s="11" t="s">
        <v>9</v>
      </c>
    </row>
    <row r="7" spans="1:10" x14ac:dyDescent="0.45">
      <c r="B7" s="9" t="s">
        <v>3</v>
      </c>
      <c r="C7">
        <v>1</v>
      </c>
      <c r="D7" t="s">
        <v>10</v>
      </c>
    </row>
    <row r="8" spans="1:10" x14ac:dyDescent="0.45">
      <c r="B8" s="9" t="s">
        <v>17</v>
      </c>
      <c r="C8">
        <v>184.5</v>
      </c>
      <c r="D8" t="s">
        <v>11</v>
      </c>
    </row>
    <row r="9" spans="1:10" x14ac:dyDescent="0.45">
      <c r="B9" s="9" t="s">
        <v>4</v>
      </c>
      <c r="C9">
        <f>C7*C6/(C2*C4)</f>
        <v>0</v>
      </c>
      <c r="D9" t="s">
        <v>18</v>
      </c>
    </row>
    <row r="10" spans="1:10" ht="14.65" thickBot="1" x14ac:dyDescent="0.5">
      <c r="B10" s="9" t="s">
        <v>5</v>
      </c>
      <c r="C10">
        <f>C9*C8</f>
        <v>0</v>
      </c>
      <c r="D10" t="s">
        <v>12</v>
      </c>
    </row>
    <row r="11" spans="1:10" x14ac:dyDescent="0.45">
      <c r="B11" s="9" t="s">
        <v>24</v>
      </c>
      <c r="C11">
        <f>1/1.5</f>
        <v>0.66666666666666663</v>
      </c>
      <c r="D11" t="s">
        <v>25</v>
      </c>
      <c r="F11" s="15" t="s">
        <v>29</v>
      </c>
      <c r="G11" s="16"/>
      <c r="H11" s="16"/>
      <c r="I11" s="16"/>
      <c r="J11" s="17"/>
    </row>
    <row r="12" spans="1:10" x14ac:dyDescent="0.45">
      <c r="A12" s="9" t="s">
        <v>20</v>
      </c>
      <c r="B12" s="28"/>
      <c r="C12" s="28"/>
      <c r="D12" s="28"/>
      <c r="F12" s="20">
        <f>C10*C11*(C13/100)*1000</f>
        <v>0</v>
      </c>
      <c r="G12" s="7"/>
      <c r="H12" s="6" t="s">
        <v>23</v>
      </c>
      <c r="I12" s="7"/>
      <c r="J12" s="8"/>
    </row>
    <row r="13" spans="1:10" ht="14.65" thickBot="1" x14ac:dyDescent="0.5">
      <c r="B13" s="10" t="s">
        <v>6</v>
      </c>
      <c r="C13" s="10">
        <v>7.5</v>
      </c>
      <c r="D13" s="10" t="s">
        <v>13</v>
      </c>
      <c r="F13" s="21"/>
      <c r="G13" s="18"/>
      <c r="H13" s="18"/>
      <c r="I13" s="18"/>
      <c r="J13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Meghan Barrett</cp:lastModifiedBy>
  <dcterms:created xsi:type="dcterms:W3CDTF">2024-07-09T16:50:56Z</dcterms:created>
  <dcterms:modified xsi:type="dcterms:W3CDTF">2025-12-15T23:21:43Z</dcterms:modified>
</cp:coreProperties>
</file>